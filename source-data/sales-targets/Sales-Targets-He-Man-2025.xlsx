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Targets" sheetId="2" state="visible" r:id="rId2"/>
    <sheet name="Change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ontserrat"/>
      <b val="1"/>
      <color rgb="000A1F3D"/>
      <sz val="14"/>
    </font>
    <font>
      <name val="Calibri"/>
      <sz val="10"/>
    </font>
    <font>
      <name val="Montserrat"/>
      <b val="1"/>
      <color rgb="00FFFFFF"/>
      <sz val="11"/>
    </font>
    <font>
      <name val="Calibri"/>
      <b val="1"/>
      <sz val="10"/>
    </font>
    <font>
      <name val="Montserrat"/>
      <b val="1"/>
      <color rgb="000A1F3D"/>
      <sz val="11"/>
    </font>
  </fonts>
  <fills count="4">
    <fill>
      <patternFill/>
    </fill>
    <fill>
      <patternFill patternType="gray125"/>
    </fill>
    <fill>
      <patternFill patternType="solid">
        <fgColor rgb="000A1F3D"/>
      </patternFill>
    </fill>
    <fill>
      <patternFill patternType="solid">
        <fgColor rgb="00F5F7FA"/>
      </patternFill>
    </fill>
  </fills>
  <borders count="3">
    <border>
      <left/>
      <right/>
      <top/>
      <bottom/>
      <diagonal/>
    </border>
    <border>
      <left style="medium">
        <color rgb="00D6D6D8"/>
      </left>
      <right style="medium">
        <color rgb="00D6D6D8"/>
      </right>
      <top style="medium">
        <color rgb="00D6D6D8"/>
      </top>
      <bottom style="medium">
        <color rgb="00D6D6D8"/>
      </bottom>
    </border>
    <border>
      <left style="thin">
        <color rgb="00D6D6D8"/>
      </left>
      <right style="thin">
        <color rgb="00D6D6D8"/>
      </right>
      <top style="thin">
        <color rgb="00D6D6D8"/>
      </top>
      <bottom style="thin">
        <color rgb="00D6D6D8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3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/>
    </xf>
    <xf numFmtId="0" fontId="3" fillId="2" borderId="2" applyAlignment="1" pivotButton="0" quotePrefix="0" xfId="0">
      <alignment horizontal="center" vertical="center"/>
    </xf>
    <xf numFmtId="0" fontId="2" fillId="0" borderId="2" pivotButton="0" quotePrefix="0" xfId="0"/>
    <xf numFmtId="3" fontId="2" fillId="0" borderId="2" pivotButton="0" quotePrefix="0" xfId="0"/>
    <xf numFmtId="0" fontId="2" fillId="0" borderId="2" applyAlignment="1" pivotButton="0" quotePrefix="0" xfId="0">
      <alignment vertical="top"/>
    </xf>
    <xf numFmtId="0" fontId="4" fillId="3" borderId="2" pivotButton="0" quotePrefix="0" xfId="0"/>
    <xf numFmtId="3" fontId="4" fillId="3" borderId="2" pivotButton="0" quotePrefix="0" xfId="0"/>
    <xf numFmtId="0" fontId="5" fillId="0" borderId="0" applyAlignment="1" pivotButton="0" quotePrefix="0" xfId="0">
      <alignment vertical="top"/>
    </xf>
    <xf numFmtId="0" fontId="3" fillId="2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085975" cy="571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085975" cy="571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085975" cy="571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C14"/>
  <sheetViews>
    <sheetView showGridLines="0" workbookViewId="0">
      <selection activeCell="A1" sqref="A1"/>
    </sheetView>
  </sheetViews>
  <sheetFormatPr baseColWidth="8" defaultRowHeight="15"/>
  <cols>
    <col width="3.71" customWidth="1" min="1" max="1"/>
    <col width="4.71" customWidth="1" min="2" max="2"/>
    <col width="107.43" customWidth="1" min="3" max="3"/>
  </cols>
  <sheetData>
    <row r="1" ht="45.75" customHeight="1"/>
    <row r="3" ht="21.75" customHeight="1">
      <c r="B3" s="1" t="inlineStr">
        <is>
          <t>Annual Sales Target Planning</t>
        </is>
      </c>
    </row>
    <row r="5">
      <c r="B5" s="2" t="n">
        <v>1</v>
      </c>
      <c r="C5" t="inlineStr">
        <is>
          <t>This workbook is used to submit team sales targets</t>
        </is>
      </c>
    </row>
    <row r="6">
      <c r="B6" s="2" t="n">
        <v>2</v>
      </c>
      <c r="C6" t="inlineStr">
        <is>
          <t>Go to the 'Targets' tab</t>
        </is>
      </c>
    </row>
    <row r="7">
      <c r="B7" s="2" t="n">
        <v>3</v>
      </c>
      <c r="C7" t="inlineStr">
        <is>
          <t>Complete the details in rows 6,7,8</t>
        </is>
      </c>
    </row>
    <row r="8">
      <c r="B8" s="2" t="n">
        <v>4</v>
      </c>
      <c r="C8" t="inlineStr">
        <is>
          <t>Enter a monthly target (in CRN) for each person, January through December.  One row is provided for each salesperson on the team.</t>
        </is>
      </c>
    </row>
    <row r="9">
      <c r="B9" s="2" t="n">
        <v>5</v>
      </c>
      <c r="C9" t="inlineStr">
        <is>
          <t>The 'Total (CRN)' column and the 'Total' row at the bottom calculate automatically - please don't type over these cells</t>
        </is>
      </c>
    </row>
    <row r="10">
      <c r="B10" s="2" t="n">
        <v>6</v>
      </c>
      <c r="C10" t="inlineStr">
        <is>
          <t>Use the 'Comments' column for any notes, e.g. new starters, territory changes or planned promotions</t>
        </is>
      </c>
    </row>
    <row r="11">
      <c r="B11" s="2" t="n">
        <v>7</v>
      </c>
      <c r="C11" t="inlineStr">
        <is>
          <t>See the 'Planning Assumptions' box on the Targets tab for the basis used for this year's growth</t>
        </is>
      </c>
    </row>
    <row r="12">
      <c r="B12" s="2" t="n">
        <v>8</v>
      </c>
      <c r="C12" t="inlineStr">
        <is>
          <t>Record any changes made while finalising the plan on the 'Changelog' tab</t>
        </is>
      </c>
    </row>
    <row r="13">
      <c r="B13" s="2" t="n">
        <v>9</v>
      </c>
      <c r="C13" t="inlineStr">
        <is>
          <t>Final sign-off must be recorded on the Changelog tab by the CEO before the plan is submitted</t>
        </is>
      </c>
    </row>
    <row r="14">
      <c r="B14" s="2" t="n">
        <v>10</v>
      </c>
      <c r="C14" t="inlineStr">
        <is>
          <t>Deadline: targets must be finalised and approved by 1st December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3:Q22"/>
  <sheetViews>
    <sheetView showGridLines="0" workbookViewId="0">
      <selection activeCell="A1" sqref="A1"/>
    </sheetView>
  </sheetViews>
  <sheetFormatPr baseColWidth="8" defaultRowHeight="15"/>
  <cols>
    <col width="3.71" customWidth="1" min="1" max="1"/>
    <col width="22.57" customWidth="1" min="2" max="2"/>
    <col width="18.14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14" customWidth="1" min="16" max="16"/>
    <col width="53.57" customWidth="1" min="17" max="17"/>
  </cols>
  <sheetData>
    <row r="1" ht="45.75" customHeight="1"/>
    <row r="3" ht="21.75" customHeight="1">
      <c r="B3" s="1" t="inlineStr">
        <is>
          <t>Eternia Trading Co. - Sales Target Plan</t>
        </is>
      </c>
    </row>
    <row r="4" ht="22.5" customHeight="1"/>
    <row r="5" ht="18.75" customHeight="1">
      <c r="B5" s="3" t="inlineStr">
        <is>
          <t>Sales Manager:</t>
        </is>
      </c>
      <c r="C5" s="4" t="inlineStr">
        <is>
          <t>He-Man</t>
        </is>
      </c>
    </row>
    <row r="6" ht="18.75" customHeight="1">
      <c r="B6" s="3" t="inlineStr">
        <is>
          <t>Division:</t>
        </is>
      </c>
      <c r="C6" s="4" t="inlineStr">
        <is>
          <t>Heroic Sales Division</t>
        </is>
      </c>
    </row>
    <row r="7" ht="18.75" customHeight="1">
      <c r="B7" s="3" t="inlineStr">
        <is>
          <t>Year:</t>
        </is>
      </c>
      <c r="C7" s="4" t="n">
        <v>2025</v>
      </c>
    </row>
    <row r="9" ht="18" customHeight="1">
      <c r="B9" s="5" t="inlineStr">
        <is>
          <t>Salesperson</t>
        </is>
      </c>
      <c r="C9" s="5" t="inlineStr">
        <is>
          <t>Role</t>
        </is>
      </c>
      <c r="D9" s="5" t="inlineStr">
        <is>
          <t>Jan</t>
        </is>
      </c>
      <c r="E9" s="5" t="inlineStr">
        <is>
          <t>Feb</t>
        </is>
      </c>
      <c r="F9" s="5" t="inlineStr">
        <is>
          <t>Mar</t>
        </is>
      </c>
      <c r="G9" s="5" t="inlineStr">
        <is>
          <t>Apr</t>
        </is>
      </c>
      <c r="H9" s="5" t="inlineStr">
        <is>
          <t>May</t>
        </is>
      </c>
      <c r="I9" s="5" t="inlineStr">
        <is>
          <t>Jun</t>
        </is>
      </c>
      <c r="J9" s="5" t="inlineStr">
        <is>
          <t>Jul</t>
        </is>
      </c>
      <c r="K9" s="5" t="inlineStr">
        <is>
          <t>Aug</t>
        </is>
      </c>
      <c r="L9" s="5" t="inlineStr">
        <is>
          <t>Sep</t>
        </is>
      </c>
      <c r="M9" s="5" t="inlineStr">
        <is>
          <t>Oct</t>
        </is>
      </c>
      <c r="N9" s="5" t="inlineStr">
        <is>
          <t>Nov</t>
        </is>
      </c>
      <c r="O9" s="5" t="inlineStr">
        <is>
          <t>Dec</t>
        </is>
      </c>
      <c r="P9" s="5" t="inlineStr">
        <is>
          <t>Total (CRN)</t>
        </is>
      </c>
      <c r="Q9" s="5" t="inlineStr">
        <is>
          <t>Comments</t>
        </is>
      </c>
    </row>
    <row r="10">
      <c r="B10" s="6" t="inlineStr">
        <is>
          <t>he-man</t>
        </is>
      </c>
      <c r="C10" s="6" t="inlineStr">
        <is>
          <t>Champion</t>
        </is>
      </c>
      <c r="D10" s="7" t="n">
        <v>575600</v>
      </c>
      <c r="E10" s="7" t="n">
        <v>566100</v>
      </c>
      <c r="F10" s="7" t="n">
        <v>572400</v>
      </c>
      <c r="G10" s="7" t="n">
        <v>576200</v>
      </c>
      <c r="H10" s="7" t="n">
        <v>579900</v>
      </c>
      <c r="I10" s="7" t="n">
        <v>575300</v>
      </c>
      <c r="J10" s="7" t="n">
        <v>573300</v>
      </c>
      <c r="K10" s="7" t="n">
        <v>570700</v>
      </c>
      <c r="L10" s="7" t="n">
        <v>579900</v>
      </c>
      <c r="M10" s="7" t="n">
        <v>595700</v>
      </c>
      <c r="N10" s="7" t="n">
        <v>614900</v>
      </c>
      <c r="O10" s="7" t="n">
        <v>637900</v>
      </c>
      <c r="P10" s="7">
        <f>SUM(D10:O10)</f>
        <v/>
      </c>
      <c r="Q10" s="8" t="inlineStr"/>
    </row>
    <row r="11">
      <c r="B11" s="6" t="inlineStr">
        <is>
          <t>Teela</t>
        </is>
      </c>
      <c r="C11" s="6" t="inlineStr">
        <is>
          <t>Captain</t>
        </is>
      </c>
      <c r="D11" s="7" t="n">
        <v>529900</v>
      </c>
      <c r="E11" s="7" t="n">
        <v>521200</v>
      </c>
      <c r="F11" s="7" t="n">
        <v>527000</v>
      </c>
      <c r="G11" s="7" t="n">
        <v>530400</v>
      </c>
      <c r="H11" s="7" t="n">
        <v>533900</v>
      </c>
      <c r="I11" s="7" t="n">
        <v>529600</v>
      </c>
      <c r="J11" s="7" t="n">
        <v>527800</v>
      </c>
      <c r="K11" s="7" t="n">
        <v>525400</v>
      </c>
      <c r="L11" s="7" t="n">
        <v>533900</v>
      </c>
      <c r="M11" s="7" t="n">
        <v>548400</v>
      </c>
      <c r="N11" s="7" t="n">
        <v>566100</v>
      </c>
      <c r="O11" s="7" t="n">
        <v>587300</v>
      </c>
      <c r="P11" s="7">
        <f>SUM(D11:O11)</f>
        <v/>
      </c>
      <c r="Q11" s="8" t="inlineStr">
        <is>
          <t>Stretch target - will need additional support to hit this.</t>
        </is>
      </c>
    </row>
    <row r="12">
      <c r="B12" s="6" t="inlineStr">
        <is>
          <t>Man-At-Arms</t>
        </is>
      </c>
      <c r="C12" s="6" t="inlineStr">
        <is>
          <t>Engineer</t>
        </is>
      </c>
      <c r="D12" s="7" t="n">
        <v>475500</v>
      </c>
      <c r="E12" s="7" t="n">
        <v>467600</v>
      </c>
      <c r="F12" s="7" t="n">
        <v>472900</v>
      </c>
      <c r="G12" s="7" t="n">
        <v>475900</v>
      </c>
      <c r="H12" s="7" t="n">
        <v>479000</v>
      </c>
      <c r="I12" s="7" t="n">
        <v>475200</v>
      </c>
      <c r="J12" s="7" t="n">
        <v>473600</v>
      </c>
      <c r="K12" s="7" t="n">
        <v>471400</v>
      </c>
      <c r="L12" s="7" t="n">
        <v>479000</v>
      </c>
      <c r="M12" s="7" t="n">
        <v>492100</v>
      </c>
      <c r="N12" s="7" t="n">
        <v>507900</v>
      </c>
      <c r="O12" s="7" t="n">
        <v>526900</v>
      </c>
      <c r="P12" s="7">
        <f>SUM(D12:O12)</f>
        <v/>
      </c>
      <c r="Q12" s="8" t="inlineStr">
        <is>
          <t>New product lines should help here.</t>
        </is>
      </c>
    </row>
    <row r="13">
      <c r="B13" s="6" t="inlineStr">
        <is>
          <t>stratos</t>
        </is>
      </c>
      <c r="C13" s="6" t="inlineStr">
        <is>
          <t>Scout</t>
        </is>
      </c>
      <c r="D13" s="7" t="n">
        <v>307400</v>
      </c>
      <c r="E13" s="7" t="n">
        <v>302400</v>
      </c>
      <c r="F13" s="7" t="n">
        <v>305700</v>
      </c>
      <c r="G13" s="7" t="n">
        <v>307700</v>
      </c>
      <c r="H13" s="7" t="n">
        <v>309700</v>
      </c>
      <c r="I13" s="7" t="n">
        <v>307300</v>
      </c>
      <c r="J13" s="7" t="n">
        <v>306200</v>
      </c>
      <c r="K13" s="7" t="n">
        <v>304800</v>
      </c>
      <c r="L13" s="7" t="n">
        <v>309700</v>
      </c>
      <c r="M13" s="7" t="n">
        <v>318200</v>
      </c>
      <c r="N13" s="7" t="n">
        <v>328400</v>
      </c>
      <c r="O13" s="7" t="n">
        <v>340700</v>
      </c>
      <c r="P13" s="7">
        <f>SUM(D13:O13)</f>
        <v/>
      </c>
      <c r="Q13" s="8" t="inlineStr">
        <is>
          <t>Flagged for a mid-year promotion review.</t>
        </is>
      </c>
    </row>
    <row r="14">
      <c r="B14" s="6" t="inlineStr">
        <is>
          <t>Orko</t>
        </is>
      </c>
      <c r="C14" s="6" t="inlineStr">
        <is>
          <t>Mage</t>
        </is>
      </c>
      <c r="D14" s="7" t="n">
        <v>215700</v>
      </c>
      <c r="E14" s="7" t="n">
        <v>212100</v>
      </c>
      <c r="F14" s="7" t="n">
        <v>214500</v>
      </c>
      <c r="G14" s="7" t="n">
        <v>215900</v>
      </c>
      <c r="H14" s="7" t="n">
        <v>217300</v>
      </c>
      <c r="I14" s="7" t="n">
        <v>215600</v>
      </c>
      <c r="J14" s="7" t="n">
        <v>214800</v>
      </c>
      <c r="K14" s="7" t="n">
        <v>213800</v>
      </c>
      <c r="L14" s="7" t="n">
        <v>217300</v>
      </c>
      <c r="M14" s="7" t="n">
        <v>223200</v>
      </c>
      <c r="N14" s="7" t="n">
        <v>230400</v>
      </c>
      <c r="O14" s="7" t="n">
        <v>239000</v>
      </c>
      <c r="P14" s="7">
        <f>SUM(D14:O14)</f>
        <v/>
      </c>
      <c r="Q14" s="8" t="inlineStr">
        <is>
          <t>New product lines should help here.</t>
        </is>
      </c>
    </row>
    <row r="15">
      <c r="B15" s="6" t="inlineStr">
        <is>
          <t>BUZZ-OFF</t>
        </is>
      </c>
      <c r="C15" s="6" t="inlineStr">
        <is>
          <t>Commander</t>
        </is>
      </c>
      <c r="D15" s="7" t="n">
        <v>1916000</v>
      </c>
      <c r="E15" s="7" t="n">
        <v>1884500</v>
      </c>
      <c r="F15" s="7" t="n">
        <v>1905500</v>
      </c>
      <c r="G15" s="7" t="n">
        <v>1917900</v>
      </c>
      <c r="H15" s="7" t="n">
        <v>1930400</v>
      </c>
      <c r="I15" s="7" t="n">
        <v>1915100</v>
      </c>
      <c r="J15" s="7" t="n">
        <v>1908400</v>
      </c>
      <c r="K15" s="7" t="n">
        <v>1899800</v>
      </c>
      <c r="L15" s="7" t="n">
        <v>1930400</v>
      </c>
      <c r="M15" s="7" t="n">
        <v>1982900</v>
      </c>
      <c r="N15" s="7" t="n">
        <v>2046900</v>
      </c>
      <c r="O15" s="7" t="n">
        <v>2123400</v>
      </c>
      <c r="P15" s="7">
        <f>SUM(D15:O15)</f>
        <v/>
      </c>
      <c r="Q15" s="8" t="inlineStr"/>
    </row>
    <row r="16">
      <c r="B16" s="6" t="inlineStr">
        <is>
          <t>FISTO</t>
        </is>
      </c>
      <c r="C16" s="6" t="inlineStr">
        <is>
          <t>Specialist</t>
        </is>
      </c>
      <c r="D16" s="7" t="n">
        <v>1744700</v>
      </c>
      <c r="E16" s="7" t="n">
        <v>1715900</v>
      </c>
      <c r="F16" s="7" t="n">
        <v>1735100</v>
      </c>
      <c r="G16" s="7" t="n">
        <v>1746400</v>
      </c>
      <c r="H16" s="7" t="n">
        <v>1757700</v>
      </c>
      <c r="I16" s="7" t="n">
        <v>1743800</v>
      </c>
      <c r="J16" s="7" t="n">
        <v>1737700</v>
      </c>
      <c r="K16" s="7" t="n">
        <v>1729900</v>
      </c>
      <c r="L16" s="7" t="n">
        <v>1757700</v>
      </c>
      <c r="M16" s="7" t="n">
        <v>1805600</v>
      </c>
      <c r="N16" s="7" t="n">
        <v>1863900</v>
      </c>
      <c r="O16" s="7" t="n">
        <v>1933500</v>
      </c>
      <c r="P16" s="7">
        <f>SUM(D16:O16)</f>
        <v/>
      </c>
      <c r="Q16" s="8" t="inlineStr"/>
    </row>
    <row r="17">
      <c r="B17" s="9" t="inlineStr">
        <is>
          <t>Total</t>
        </is>
      </c>
      <c r="C17" s="9" t="n"/>
      <c r="D17" s="10">
        <f>SUM(D10:D16)</f>
        <v/>
      </c>
      <c r="E17" s="10">
        <f>SUM(E10:E16)</f>
        <v/>
      </c>
      <c r="F17" s="10">
        <f>SUM(F10:F16)</f>
        <v/>
      </c>
      <c r="G17" s="10">
        <f>SUM(G10:G16)</f>
        <v/>
      </c>
      <c r="H17" s="10">
        <f>SUM(H10:H16)</f>
        <v/>
      </c>
      <c r="I17" s="10">
        <f>SUM(I10:I16)</f>
        <v/>
      </c>
      <c r="J17" s="10">
        <f>SUM(J10:J16)</f>
        <v/>
      </c>
      <c r="K17" s="10">
        <f>SUM(K10:K16)</f>
        <v/>
      </c>
      <c r="L17" s="10">
        <f>SUM(L10:L16)</f>
        <v/>
      </c>
      <c r="M17" s="10">
        <f>SUM(M10:M16)</f>
        <v/>
      </c>
      <c r="N17" s="10">
        <f>SUM(N10:N16)</f>
        <v/>
      </c>
      <c r="O17" s="10">
        <f>SUM(O10:O16)</f>
        <v/>
      </c>
      <c r="P17" s="10">
        <f>SUM(P10:P16)</f>
        <v/>
      </c>
      <c r="Q17" s="9" t="n"/>
    </row>
    <row r="19">
      <c r="B19" s="11" t="inlineStr">
        <is>
          <t>Planning Assumptions</t>
        </is>
      </c>
    </row>
    <row r="20">
      <c r="B20" s="2" t="inlineStr">
        <is>
          <t>Roster reflects He-Man's team as active on 1 December 2024.</t>
        </is>
      </c>
    </row>
    <row r="21">
      <c r="B21" s="2" t="inlineStr">
        <is>
          <t>Targets are based on each person's FY2024 actual performance plus an agreed growth uplift for FY2025.</t>
        </is>
      </c>
    </row>
    <row r="22">
      <c r="B22" s="2" t="inlineStr">
        <is>
          <t>All figures are shown in Crowns (CRN).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3:D9"/>
  <sheetViews>
    <sheetView showGridLines="0" workbookViewId="0">
      <selection activeCell="A1" sqref="A1"/>
    </sheetView>
  </sheetViews>
  <sheetFormatPr baseColWidth="8" defaultRowHeight="15"/>
  <cols>
    <col width="3.71" customWidth="1" min="1" max="1"/>
    <col width="26" customWidth="1" min="2" max="2"/>
    <col width="22.14" customWidth="1" min="3" max="3"/>
    <col width="53.43" customWidth="1" min="4" max="4"/>
  </cols>
  <sheetData>
    <row r="1" ht="45.75" customHeight="1"/>
    <row r="3" ht="24" customHeight="1">
      <c r="B3" s="1" t="inlineStr">
        <is>
          <t>Changelog</t>
        </is>
      </c>
    </row>
    <row r="4" ht="15.75" customHeight="1"/>
    <row r="5" ht="18.75" customHeight="1">
      <c r="B5" s="12" t="inlineStr">
        <is>
          <t>Date</t>
        </is>
      </c>
      <c r="C5" s="12" t="inlineStr">
        <is>
          <t>Changed By</t>
        </is>
      </c>
      <c r="D5" s="12" t="inlineStr">
        <is>
          <t>Change</t>
        </is>
      </c>
    </row>
    <row r="6" ht="15.75" customHeight="1">
      <c r="B6" s="13" t="inlineStr">
        <is>
          <t>08 Sep 2024</t>
        </is>
      </c>
      <c r="C6" s="13" t="inlineStr">
        <is>
          <t>Sales Planning Team</t>
        </is>
      </c>
      <c r="D6" s="13" t="inlineStr">
        <is>
          <t>Updated phasing based on feedback from the regional roadshow.</t>
        </is>
      </c>
    </row>
    <row r="7" ht="15.75" customHeight="1">
      <c r="B7" s="13" t="inlineStr">
        <is>
          <t>14 Sep 2024</t>
        </is>
      </c>
      <c r="C7" s="13" t="inlineStr">
        <is>
          <t>He-Man</t>
        </is>
      </c>
      <c r="D7" s="13" t="inlineStr">
        <is>
          <t>Adjusted Q4 phasing for seasonal demand.</t>
        </is>
      </c>
    </row>
    <row r="8" ht="15.75" customHeight="1">
      <c r="B8" s="13" t="inlineStr">
        <is>
          <t>21 Nov 2024</t>
        </is>
      </c>
      <c r="C8" s="13" t="inlineStr">
        <is>
          <t>Sales Planning Team</t>
        </is>
      </c>
      <c r="D8" s="13" t="inlineStr">
        <is>
          <t>Revised totals following the finance review.</t>
        </is>
      </c>
    </row>
    <row r="9" ht="15.75" customHeight="1">
      <c r="B9" s="13" t="inlineStr">
        <is>
          <t>30 Nov 2024</t>
        </is>
      </c>
      <c r="C9" s="13" t="inlineStr">
        <is>
          <t>Lord Marek Stenvald (CEO)</t>
        </is>
      </c>
      <c r="D9" s="13" t="inlineStr">
        <is>
          <t>Approved - FY2025 targets signed off.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2026-07-01T12:06:38Z</dcterms:created>
  <dcterms:modified xsi:type="dcterms:W3CDTF">2026-07-01T12:06:38Z</dcterms:modified>
</cp:coreProperties>
</file>